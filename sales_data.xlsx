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\Projects\sales-data-analysis\"/>
    </mc:Choice>
  </mc:AlternateContent>
  <xr:revisionPtr revIDLastSave="0" documentId="13_ncr:9_{4627A817-F3E1-430E-A685-AFF4AD1C2BFE}" xr6:coauthVersionLast="47" xr6:coauthVersionMax="47" xr10:uidLastSave="{00000000-0000-0000-0000-000000000000}"/>
  <bookViews>
    <workbookView xWindow="2160" yWindow="2160" windowWidth="17280" windowHeight="8880" xr2:uid="{92616B37-70BB-49F2-B3DA-95AA46808868}"/>
  </bookViews>
  <sheets>
    <sheet name="sale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N2" i="1" l="1"/>
  <c r="M2" i="1"/>
  <c r="H3" i="2"/>
  <c r="F3" i="2"/>
  <c r="D3" i="2"/>
  <c r="B3" i="2"/>
  <c r="J2" i="1"/>
  <c r="J3" i="1"/>
  <c r="J4" i="1"/>
  <c r="J5" i="1"/>
  <c r="J6" i="1"/>
  <c r="J7" i="1"/>
  <c r="J8" i="1"/>
  <c r="J9" i="1"/>
  <c r="J10" i="1"/>
  <c r="J11" i="1"/>
  <c r="J12" i="1"/>
  <c r="J13" i="1"/>
  <c r="I2" i="1"/>
  <c r="I3" i="1"/>
  <c r="I4" i="1"/>
  <c r="I5" i="1"/>
  <c r="I6" i="1"/>
  <c r="I7" i="1"/>
  <c r="I8" i="1"/>
  <c r="I9" i="1"/>
  <c r="I10" i="1"/>
  <c r="I11" i="1"/>
  <c r="I12" i="1"/>
  <c r="I13" i="1"/>
</calcChain>
</file>

<file path=xl/sharedStrings.xml><?xml version="1.0" encoding="utf-8"?>
<sst xmlns="http://schemas.openxmlformats.org/spreadsheetml/2006/main" count="59" uniqueCount="26">
  <si>
    <t>OrderID</t>
  </si>
  <si>
    <t>OrderDate</t>
  </si>
  <si>
    <t>Region</t>
  </si>
  <si>
    <t>Product</t>
  </si>
  <si>
    <t>Category</t>
  </si>
  <si>
    <t>Quantity</t>
  </si>
  <si>
    <t>UnitPrice</t>
  </si>
  <si>
    <t>UnitCost</t>
  </si>
  <si>
    <t>South</t>
  </si>
  <si>
    <t>Laptop</t>
  </si>
  <si>
    <t>Electronics</t>
  </si>
  <si>
    <t>North</t>
  </si>
  <si>
    <t>Mouse</t>
  </si>
  <si>
    <t>Accessories</t>
  </si>
  <si>
    <t>East</t>
  </si>
  <si>
    <t>Keyboard</t>
  </si>
  <si>
    <t>West</t>
  </si>
  <si>
    <t>Monitor</t>
  </si>
  <si>
    <t>Phone</t>
  </si>
  <si>
    <t>Revenue</t>
  </si>
  <si>
    <t>Profit</t>
  </si>
  <si>
    <t>Total Revenue</t>
  </si>
  <si>
    <t>SALES PERFORMANCE DASHBOARD</t>
  </si>
  <si>
    <t>Total Profit</t>
  </si>
  <si>
    <t>Total Units Sold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</si>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</sst>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0.17171296296296298"/>
          <c:w val="0.8965579615048119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sales!$M$1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sales!$L$2:$L$6</c:f>
              <c:strCache>
                <c:ptCount val="5"/>
                <c:pt idx="0">
                  <c:v>Revenue</c:v>
                </c:pt>
                <c:pt idx="1">
                  <c:v>Profit</c:v>
                </c:pt>
                <c:pt idx="2">
                  <c:v>Laptop</c:v>
                </c:pt>
                <c:pt idx="3">
                  <c:v>Phone</c:v>
                </c:pt>
                <c:pt idx="4">
                  <c:v>Monitor</c:v>
                </c:pt>
              </c:strCache>
            </c:strRef>
          </c:cat>
          <c:val>
            <c:numRef>
              <c:f>sales!$M$2:$M$6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E-4358-84D0-5339BEE159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021519"/>
        <c:axId val="1167203695"/>
      </c:barChart>
      <c:catAx>
        <c:axId val="121202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03695"/>
        <c:crosses val="autoZero"/>
        <c:auto val="1"/>
        <c:lblAlgn val="ctr"/>
        <c:lblOffset val="100"/>
        <c:noMultiLvlLbl val="0"/>
      </c:catAx>
      <c:valAx>
        <c:axId val="11672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2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sales!$L$1:$L$6</c:f>
              <c:strCache>
                <c:ptCount val="6"/>
                <c:pt idx="0">
                  <c:v>Product</c:v>
                </c:pt>
                <c:pt idx="1">
                  <c:v>Revenue</c:v>
                </c:pt>
                <c:pt idx="2">
                  <c:v>Profit</c:v>
                </c:pt>
                <c:pt idx="3">
                  <c:v>Laptop</c:v>
                </c:pt>
                <c:pt idx="4">
                  <c:v>Phone</c:v>
                </c:pt>
                <c:pt idx="5">
                  <c:v>Monitor</c:v>
                </c:pt>
              </c:strCache>
            </c:strRef>
          </c:cat>
          <c:val>
            <c:numRef>
              <c:f>sales!$N$1:$N$6</c:f>
              <c:numCache>
                <c:formatCode>General</c:formatCode>
                <c:ptCount val="6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9-4127-8B26-C57A6804A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475263"/>
        <c:axId val="1167218095"/>
      </c:barChart>
      <c:catAx>
        <c:axId val="122447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18095"/>
        <c:crosses val="autoZero"/>
        <c:auto val="1"/>
        <c:lblAlgn val="ctr"/>
        <c:lblOffset val="100"/>
        <c:noMultiLvlLbl val="0"/>
      </c:catAx>
      <c:valAx>
        <c:axId val="11672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47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1</xdr:row>
      <xdr:rowOff>121920</xdr:rowOff>
    </xdr:from>
    <xdr:to>
      <xdr:col>8</xdr:col>
      <xdr:colOff>365760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91E46-8584-CA7C-A41E-F709017CC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198120</xdr:colOff>
      <xdr:row>0</xdr:row>
      <xdr:rowOff>34290</xdr:rowOff>
    </xdr:from>
    <xdr:to>
      <xdr:col>11</xdr:col>
      <xdr:colOff>106680</xdr:colOff>
      <xdr:row>15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DECA07-265F-67A2-33D2-26C464245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FF7E9-DC6B-4816-836C-F969A0D354A3}" name="SalesTable" displayName="SalesTable" ref="A1:J13" totalsRowShown="0">
  <autoFilter ref="A1:J13" xr:uid="{EF8FF7E9-DC6B-4816-836C-F969A0D354A3}"/>
  <tableColumns count="10">
    <tableColumn id="1" xr3:uid="{B813CBED-B2A1-485D-A9F3-19916F110979}" name="OrderID"/>
    <tableColumn id="2" xr3:uid="{C702EE33-B601-492C-929E-07802CE881E4}" name="OrderDate" dataDxfId="2"/>
    <tableColumn id="3" xr3:uid="{7844D52A-65F2-46C4-BA67-AC6FAB74254D}" name="Region"/>
    <tableColumn id="4" xr3:uid="{7A810535-BC3D-460D-A16C-13A5280FABC1}" name="Product"/>
    <tableColumn id="5" xr3:uid="{4765BBF2-953A-4B15-9D07-EF1713F59DF9}" name="Category"/>
    <tableColumn id="6" xr3:uid="{B89D99CD-DD77-4084-A629-B4F9345276AC}" name="Quantity"/>
    <tableColumn id="7" xr3:uid="{F858AF74-A3D2-4D2A-96DD-9D009333BE70}" name="UnitPrice"/>
    <tableColumn id="8" xr3:uid="{B55093B0-9711-4A65-9944-92239960F417}" name="UnitCost"/>
    <tableColumn id="9" xr3:uid="{97622146-75CC-406A-A506-B36D5DEFC1FD}" name="Revenue" dataDxfId="1">
      <calculatedColumnFormula>SalesTable[[#This Row],[Quantity]]*SalesTable[[#This Row],[UnitPrice]]</calculatedColumnFormula>
    </tableColumn>
    <tableColumn id="10" xr3:uid="{C40800B7-12C9-46A6-B2FB-5B8519EF99F0}" name="Profit" dataDxfId="0">
      <calculatedColumnFormula>SalesTable[[#This Row],[Quantity]]*(SalesTable[[#This Row],[UnitPrice]]-SalesTable[[#This Row],[UnitCost]])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C419-FC11-4DE0-AC84-65009819CC5F}">
  <dimension ref="A1:N13"/>
  <sheetViews>
    <sheetView tabSelected="1" workbookViewId="0">
      <selection activeCell="N1" activeCellId="1" sqref="L1:L6 N1:N6"/>
    </sheetView>
  </sheetViews>
  <sheetFormatPr defaultRowHeight="14.4" x14ac:dyDescent="0.3"/>
  <cols>
    <col min="1" max="1" width="9.44140625" customWidth="1"/>
    <col min="2" max="2" width="11.5546875" customWidth="1"/>
    <col min="4" max="4" width="9.5546875" customWidth="1"/>
    <col min="5" max="5" width="10.44140625" customWidth="1"/>
    <col min="6" max="6" width="10.21875" customWidth="1"/>
    <col min="7" max="7" width="10.5546875" customWidth="1"/>
    <col min="8" max="8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</v>
      </c>
      <c r="J1" t="s">
        <v>20</v>
      </c>
      <c r="L1" t="s">
        <v>3</v>
      </c>
    </row>
    <row r="2" spans="1:14" x14ac:dyDescent="0.3">
      <c r="A2">
        <v>1001</v>
      </c>
      <c r="B2" s="1">
        <v>46027</v>
      </c>
      <c r="C2" t="s">
        <v>8</v>
      </c>
      <c r="D2" t="s">
        <v>9</v>
      </c>
      <c r="E2" t="s">
        <v>10</v>
      </c>
      <c r="F2">
        <v>2</v>
      </c>
      <c r="G2">
        <v>55000</v>
      </c>
      <c r="H2">
        <v>42000</v>
      </c>
      <c r="I2">
        <f>SalesTable[[#This Row],[Quantity]]*SalesTable[[#This Row],[UnitPrice]]</f>
        <v>110000</v>
      </c>
      <c r="J2">
        <f>SalesTable[[#This Row],[Quantity]]*(SalesTable[[#This Row],[UnitPrice]]-SalesTable[[#This Row],[UnitCost]])</f>
        <v>26000</v>
      </c>
      <c r="L2" t="s">
        <v>19</v>
      </c>
      <c r="M2">
        <f>SUMIF(SalesTable[Product],L2,SalesTable[Revenue])</f>
        <v>0</v>
      </c>
      <c r="N2">
        <f>SUMIF(SalesTable[Product],L2,SalesTable[Profit])</f>
        <v>0</v>
      </c>
    </row>
    <row r="3" spans="1:14" x14ac:dyDescent="0.3">
      <c r="A3">
        <v>1002</v>
      </c>
      <c r="B3" s="1">
        <v>46030</v>
      </c>
      <c r="C3" t="s">
        <v>11</v>
      </c>
      <c r="D3" t="s">
        <v>12</v>
      </c>
      <c r="E3" t="s">
        <v>13</v>
      </c>
      <c r="F3">
        <v>5</v>
      </c>
      <c r="G3">
        <v>800</v>
      </c>
      <c r="H3">
        <v>400</v>
      </c>
      <c r="I3">
        <f>SalesTable[[#This Row],[Quantity]]*SalesTable[[#This Row],[UnitPrice]]</f>
        <v>4000</v>
      </c>
      <c r="J3">
        <f>SalesTable[[#This Row],[Quantity]]*(SalesTable[[#This Row],[UnitPrice]]-SalesTable[[#This Row],[UnitCost]])</f>
        <v>2000</v>
      </c>
      <c r="L3" t="s">
        <v>20</v>
      </c>
    </row>
    <row r="4" spans="1:14" x14ac:dyDescent="0.3">
      <c r="A4">
        <v>1003</v>
      </c>
      <c r="B4" s="1">
        <v>46034</v>
      </c>
      <c r="C4" t="s">
        <v>14</v>
      </c>
      <c r="D4" t="s">
        <v>15</v>
      </c>
      <c r="E4" t="s">
        <v>13</v>
      </c>
      <c r="F4">
        <v>3</v>
      </c>
      <c r="G4">
        <v>1500</v>
      </c>
      <c r="H4">
        <v>800</v>
      </c>
      <c r="I4">
        <f>SalesTable[[#This Row],[Quantity]]*SalesTable[[#This Row],[UnitPrice]]</f>
        <v>4500</v>
      </c>
      <c r="J4">
        <f>SalesTable[[#This Row],[Quantity]]*(SalesTable[[#This Row],[UnitPrice]]-SalesTable[[#This Row],[UnitCost]])</f>
        <v>2100</v>
      </c>
      <c r="L4" t="s">
        <v>9</v>
      </c>
    </row>
    <row r="5" spans="1:14" x14ac:dyDescent="0.3">
      <c r="A5">
        <v>1004</v>
      </c>
      <c r="B5" s="1">
        <v>46040</v>
      </c>
      <c r="C5" t="s">
        <v>16</v>
      </c>
      <c r="D5" t="s">
        <v>17</v>
      </c>
      <c r="E5" t="s">
        <v>10</v>
      </c>
      <c r="F5">
        <v>2</v>
      </c>
      <c r="G5">
        <v>12000</v>
      </c>
      <c r="H5">
        <v>9000</v>
      </c>
      <c r="I5">
        <f>SalesTable[[#This Row],[Quantity]]*SalesTable[[#This Row],[UnitPrice]]</f>
        <v>24000</v>
      </c>
      <c r="J5">
        <f>SalesTable[[#This Row],[Quantity]]*(SalesTable[[#This Row],[UnitPrice]]-SalesTable[[#This Row],[UnitCost]])</f>
        <v>6000</v>
      </c>
      <c r="L5" t="s">
        <v>18</v>
      </c>
    </row>
    <row r="6" spans="1:14" x14ac:dyDescent="0.3">
      <c r="A6">
        <v>1005</v>
      </c>
      <c r="B6" s="1">
        <v>46056</v>
      </c>
      <c r="C6" t="s">
        <v>8</v>
      </c>
      <c r="D6" t="s">
        <v>18</v>
      </c>
      <c r="E6" t="s">
        <v>10</v>
      </c>
      <c r="F6">
        <v>4</v>
      </c>
      <c r="G6">
        <v>20000</v>
      </c>
      <c r="H6">
        <v>15000</v>
      </c>
      <c r="I6">
        <f>SalesTable[[#This Row],[Quantity]]*SalesTable[[#This Row],[UnitPrice]]</f>
        <v>80000</v>
      </c>
      <c r="J6">
        <f>SalesTable[[#This Row],[Quantity]]*(SalesTable[[#This Row],[UnitPrice]]-SalesTable[[#This Row],[UnitCost]])</f>
        <v>20000</v>
      </c>
      <c r="L6" t="s">
        <v>17</v>
      </c>
    </row>
    <row r="7" spans="1:14" x14ac:dyDescent="0.3">
      <c r="A7">
        <v>1006</v>
      </c>
      <c r="B7" s="1">
        <v>46062</v>
      </c>
      <c r="C7" t="s">
        <v>11</v>
      </c>
      <c r="D7" t="s">
        <v>9</v>
      </c>
      <c r="E7" t="s">
        <v>10</v>
      </c>
      <c r="F7">
        <v>1</v>
      </c>
      <c r="G7">
        <v>55000</v>
      </c>
      <c r="H7">
        <v>42000</v>
      </c>
      <c r="I7">
        <f>SalesTable[[#This Row],[Quantity]]*SalesTable[[#This Row],[UnitPrice]]</f>
        <v>55000</v>
      </c>
      <c r="J7">
        <f>SalesTable[[#This Row],[Quantity]]*(SalesTable[[#This Row],[UnitPrice]]-SalesTable[[#This Row],[UnitCost]])</f>
        <v>13000</v>
      </c>
      <c r="L7" t="s">
        <v>15</v>
      </c>
    </row>
    <row r="8" spans="1:14" x14ac:dyDescent="0.3">
      <c r="A8">
        <v>1007</v>
      </c>
      <c r="B8" s="1">
        <v>46068</v>
      </c>
      <c r="C8" t="s">
        <v>14</v>
      </c>
      <c r="D8" t="s">
        <v>12</v>
      </c>
      <c r="E8" t="s">
        <v>13</v>
      </c>
      <c r="F8">
        <v>10</v>
      </c>
      <c r="G8">
        <v>800</v>
      </c>
      <c r="H8">
        <v>400</v>
      </c>
      <c r="I8">
        <f>SalesTable[[#This Row],[Quantity]]*SalesTable[[#This Row],[UnitPrice]]</f>
        <v>8000</v>
      </c>
      <c r="J8">
        <f>SalesTable[[#This Row],[Quantity]]*(SalesTable[[#This Row],[UnitPrice]]-SalesTable[[#This Row],[UnitCost]])</f>
        <v>4000</v>
      </c>
      <c r="L8" t="s">
        <v>12</v>
      </c>
    </row>
    <row r="9" spans="1:14" x14ac:dyDescent="0.3">
      <c r="A9">
        <v>1008</v>
      </c>
      <c r="B9" s="1">
        <v>46073</v>
      </c>
      <c r="C9" t="s">
        <v>16</v>
      </c>
      <c r="D9" t="s">
        <v>15</v>
      </c>
      <c r="E9" t="s">
        <v>13</v>
      </c>
      <c r="F9">
        <v>6</v>
      </c>
      <c r="G9">
        <v>1500</v>
      </c>
      <c r="H9">
        <v>800</v>
      </c>
      <c r="I9">
        <f>SalesTable[[#This Row],[Quantity]]*SalesTable[[#This Row],[UnitPrice]]</f>
        <v>9000</v>
      </c>
      <c r="J9">
        <f>SalesTable[[#This Row],[Quantity]]*(SalesTable[[#This Row],[UnitPrice]]-SalesTable[[#This Row],[UnitCost]])</f>
        <v>4200</v>
      </c>
    </row>
    <row r="10" spans="1:14" x14ac:dyDescent="0.3">
      <c r="A10">
        <v>1009</v>
      </c>
      <c r="B10" s="1">
        <v>46083</v>
      </c>
      <c r="C10" t="s">
        <v>8</v>
      </c>
      <c r="D10" t="s">
        <v>17</v>
      </c>
      <c r="E10" t="s">
        <v>10</v>
      </c>
      <c r="F10">
        <v>3</v>
      </c>
      <c r="G10">
        <v>12000</v>
      </c>
      <c r="H10">
        <v>9000</v>
      </c>
      <c r="I10">
        <f>SalesTable[[#This Row],[Quantity]]*SalesTable[[#This Row],[UnitPrice]]</f>
        <v>36000</v>
      </c>
      <c r="J10">
        <f>SalesTable[[#This Row],[Quantity]]*(SalesTable[[#This Row],[UnitPrice]]-SalesTable[[#This Row],[UnitCost]])</f>
        <v>9000</v>
      </c>
    </row>
    <row r="11" spans="1:14" x14ac:dyDescent="0.3">
      <c r="A11">
        <v>1010</v>
      </c>
      <c r="B11" s="1">
        <v>46091</v>
      </c>
      <c r="C11" t="s">
        <v>11</v>
      </c>
      <c r="D11" t="s">
        <v>18</v>
      </c>
      <c r="E11" t="s">
        <v>10</v>
      </c>
      <c r="F11">
        <v>2</v>
      </c>
      <c r="G11">
        <v>20000</v>
      </c>
      <c r="H11">
        <v>15000</v>
      </c>
      <c r="I11">
        <f>SalesTable[[#This Row],[Quantity]]*SalesTable[[#This Row],[UnitPrice]]</f>
        <v>40000</v>
      </c>
      <c r="J11">
        <f>SalesTable[[#This Row],[Quantity]]*(SalesTable[[#This Row],[UnitPrice]]-SalesTable[[#This Row],[UnitCost]])</f>
        <v>10000</v>
      </c>
    </row>
    <row r="12" spans="1:14" x14ac:dyDescent="0.3">
      <c r="A12">
        <v>1011</v>
      </c>
      <c r="B12" s="1">
        <v>46096</v>
      </c>
      <c r="C12" t="s">
        <v>14</v>
      </c>
      <c r="D12" t="s">
        <v>9</v>
      </c>
      <c r="E12" t="s">
        <v>10</v>
      </c>
      <c r="F12">
        <v>2</v>
      </c>
      <c r="G12">
        <v>55000</v>
      </c>
      <c r="H12">
        <v>42000</v>
      </c>
      <c r="I12">
        <f>SalesTable[[#This Row],[Quantity]]*SalesTable[[#This Row],[UnitPrice]]</f>
        <v>110000</v>
      </c>
      <c r="J12">
        <f>SalesTable[[#This Row],[Quantity]]*(SalesTable[[#This Row],[UnitPrice]]-SalesTable[[#This Row],[UnitCost]])</f>
        <v>26000</v>
      </c>
    </row>
    <row r="13" spans="1:14" x14ac:dyDescent="0.3">
      <c r="A13">
        <v>1012</v>
      </c>
      <c r="B13" s="1">
        <v>46103</v>
      </c>
      <c r="C13" t="s">
        <v>16</v>
      </c>
      <c r="D13" t="s">
        <v>12</v>
      </c>
      <c r="E13" t="s">
        <v>13</v>
      </c>
      <c r="F13">
        <v>8</v>
      </c>
      <c r="G13">
        <v>800</v>
      </c>
      <c r="H13">
        <v>400</v>
      </c>
      <c r="I13">
        <f>SalesTable[[#This Row],[Quantity]]*SalesTable[[#This Row],[UnitPrice]]</f>
        <v>6400</v>
      </c>
      <c r="J13">
        <f>SalesTable[[#This Row],[Quantity]]*(SalesTable[[#This Row],[UnitPrice]]-SalesTable[[#This Row],[UnitCost]])</f>
        <v>3200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EE86-485B-4674-85BC-71ED9CC5820C}">
  <dimension ref="A1:H3"/>
  <sheetViews>
    <sheetView workbookViewId="0">
      <selection activeCell="G3" sqref="G3"/>
    </sheetView>
  </sheetViews>
  <sheetFormatPr defaultRowHeight="14.4" x14ac:dyDescent="0.3"/>
  <cols>
    <col min="1" max="1" width="12.33203125" customWidth="1"/>
    <col min="3" max="3" width="9.77734375" customWidth="1"/>
  </cols>
  <sheetData>
    <row r="1" spans="1:8" x14ac:dyDescent="0.3">
      <c r="A1" t="s">
        <v>22</v>
      </c>
    </row>
    <row r="3" spans="1:8" x14ac:dyDescent="0.3">
      <c r="A3" t="s">
        <v>21</v>
      </c>
      <c r="B3">
        <f>SUM(SalesTable[Revenue])</f>
        <v>486900</v>
      </c>
      <c r="C3" t="s">
        <v>23</v>
      </c>
      <c r="D3">
        <f>SUM(SalesTable[Profit])</f>
        <v>125500</v>
      </c>
      <c r="E3" t="s">
        <v>24</v>
      </c>
      <c r="F3">
        <f>SUM(SalesTable[Quantity])</f>
        <v>48</v>
      </c>
      <c r="G3" t="s">
        <v>25</v>
      </c>
      <c r="H3">
        <f>COUNTA(SalesTable[OrderID])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 akula</cp:lastModifiedBy>
  <dcterms:created xsi:type="dcterms:W3CDTF">2026-10-28T20:33:20Z</dcterms:created>
  <dcterms:modified xsi:type="dcterms:W3CDTF">2026-10-28T20:55:57Z</dcterms:modified>
</cp:coreProperties>
</file>